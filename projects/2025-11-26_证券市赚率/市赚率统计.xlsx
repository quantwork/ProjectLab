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Quant\ProjectLab\projects\2025-11-26_证券市赚率\"/>
    </mc:Choice>
  </mc:AlternateContent>
  <xr:revisionPtr revIDLastSave="0" documentId="13_ncr:1_{B3697AE6-A4C5-4DA7-B86E-A89ECA0760B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贵州茅台" sheetId="1" r:id="rId1"/>
    <sheet name="山西汾酒" sheetId="5" r:id="rId2"/>
    <sheet name="对比" sheetId="8" r:id="rId3"/>
    <sheet name="备注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" i="8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0" i="1"/>
</calcChain>
</file>

<file path=xl/sharedStrings.xml><?xml version="1.0" encoding="utf-8"?>
<sst xmlns="http://schemas.openxmlformats.org/spreadsheetml/2006/main" count="73" uniqueCount="31">
  <si>
    <t>年份</t>
    <phoneticPr fontId="1" type="noConversion"/>
  </si>
  <si>
    <t>每股收益(扣除)(元)</t>
  </si>
  <si>
    <t>2024年</t>
    <phoneticPr fontId="1" type="noConversion"/>
  </si>
  <si>
    <t>2023年</t>
    <phoneticPr fontId="1" type="noConversion"/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</si>
  <si>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</si>
  <si>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</si>
  <si>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</si>
  <si>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</si>
  <si>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</si>
  <si>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</si>
  <si>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</si>
  <si>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</si>
  <si>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</si>
  <si>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</si>
  <si>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</si>
  <si>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</si>
  <si>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</si>
  <si>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</si>
  <si>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</si>
  <si>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</si>
  <si>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</si>
  <si>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年末收盘价</t>
    <phoneticPr fontId="1" type="noConversion"/>
  </si>
  <si>
    <t>市赚率</t>
    <phoneticPr fontId="1" type="noConversion"/>
  </si>
  <si>
    <t>净资产收益率(扣非/加权)(%)</t>
  </si>
  <si>
    <t>备注：</t>
    <phoneticPr fontId="1" type="noConversion"/>
  </si>
  <si>
    <t>扣非每股收益(元)</t>
    <phoneticPr fontId="1" type="noConversion"/>
  </si>
  <si>
    <t>净资产收益率(扣非/加权)(%)</t>
    <phoneticPr fontId="1" type="noConversion"/>
  </si>
  <si>
    <t>1、扣非每股收益(元)和净资产收益率(扣非/加权)(%) --&gt; 来源choice金融终端</t>
    <phoneticPr fontId="1" type="noConversion"/>
  </si>
  <si>
    <t>1、年末价格 --&gt; 除权</t>
    <phoneticPr fontId="1" type="noConversion"/>
  </si>
  <si>
    <t>贵州茅台</t>
    <phoneticPr fontId="1" type="noConversion"/>
  </si>
  <si>
    <t>山西汾酒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</si>
</sst>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2" formatCode="0.0000_ ;[Red]\-0.0000\ 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6453B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76453B"/>
      </left>
      <right style="dashed">
        <color rgb="FF76453B"/>
      </right>
      <top style="dashed">
        <color rgb="FF76453B"/>
      </top>
      <bottom style="dashed">
        <color rgb="FF76453B"/>
      </bottom>
      <diagonal/>
    </border>
    <border>
      <left style="dashed">
        <color rgb="FF76453B"/>
      </left>
      <right style="dashed">
        <color rgb="FF76453B"/>
      </right>
      <top style="dashed">
        <color rgb="FF76453B"/>
      </top>
      <bottom style="dashed">
        <color rgb="FF76453B"/>
      </bottom>
      <diagonal/>
    </border>
    <border>
      <left style="dashed">
        <color rgb="FF76453B"/>
      </left>
      <right style="thin">
        <color rgb="FF76453B"/>
      </right>
      <top style="dashed">
        <color rgb="FF76453B"/>
      </top>
      <bottom style="dashed">
        <color rgb="FF76453B"/>
      </bottom>
      <diagonal/>
    </border>
    <border>
      <left style="thin">
        <color rgb="FF76453B"/>
      </left>
      <right style="dashed">
        <color rgb="FF76453B"/>
      </right>
      <top style="dashed">
        <color rgb="FF76453B"/>
      </top>
      <bottom style="thin">
        <color rgb="FF76453B"/>
      </bottom>
      <diagonal/>
    </border>
    <border>
      <left style="dashed">
        <color rgb="FF76453B"/>
      </left>
      <right style="dashed">
        <color rgb="FF76453B"/>
      </right>
      <top style="dashed">
        <color rgb="FF76453B"/>
      </top>
      <bottom style="thin">
        <color rgb="FF76453B"/>
      </bottom>
      <diagonal/>
    </border>
    <border>
      <left style="dashed">
        <color rgb="FF76453B"/>
      </left>
      <right style="thin">
        <color rgb="FF76453B"/>
      </right>
      <top style="dashed">
        <color rgb="FF76453B"/>
      </top>
      <bottom style="thin">
        <color rgb="FF76453B"/>
      </bottom>
      <diagonal/>
    </border>
    <border>
      <left style="thin">
        <color rgb="FF76453B"/>
      </left>
      <right style="dashed">
        <color rgb="FF76453B"/>
      </right>
      <top/>
      <bottom style="dashed">
        <color rgb="FF76453B"/>
      </bottom>
      <diagonal/>
    </border>
    <border>
      <left style="dashed">
        <color rgb="FF76453B"/>
      </left>
      <right style="dashed">
        <color rgb="FF76453B"/>
      </right>
      <top/>
      <bottom style="dashed">
        <color rgb="FF76453B"/>
      </bottom>
      <diagonal/>
    </border>
    <border>
      <left style="dashed">
        <color rgb="FF76453B"/>
      </left>
      <right style="thin">
        <color rgb="FF76453B"/>
      </right>
      <top/>
      <bottom style="dashed">
        <color rgb="FF76453B"/>
      </bottom>
      <diagonal/>
    </border>
    <border>
      <left style="thin">
        <color rgb="FF76453B"/>
      </left>
      <right style="dashed">
        <color rgb="FF76453B"/>
      </right>
      <top style="thin">
        <color rgb="FF76453B"/>
      </top>
      <bottom style="thin">
        <color rgb="FF76453B"/>
      </bottom>
      <diagonal/>
    </border>
    <border>
      <left style="dashed">
        <color rgb="FF76453B"/>
      </left>
      <right style="dashed">
        <color rgb="FF76453B"/>
      </right>
      <top style="thin">
        <color rgb="FF76453B"/>
      </top>
      <bottom style="thin">
        <color rgb="FF76453B"/>
      </bottom>
      <diagonal/>
    </border>
    <border>
      <left style="dashed">
        <color rgb="FF76453B"/>
      </left>
      <right style="thin">
        <color rgb="FF76453B"/>
      </right>
      <top style="thin">
        <color rgb="FF76453B"/>
      </top>
      <bottom style="thin">
        <color rgb="FF76453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176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176" fontId="3" fillId="2" borderId="9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76" fontId="4" fillId="3" borderId="11" xfId="0" applyNumberFormat="1" applyFont="1" applyFill="1" applyBorder="1" applyAlignment="1">
      <alignment horizontal="center" vertical="center" wrapText="1"/>
    </xf>
    <xf numFmtId="176" fontId="4" fillId="3" borderId="12" xfId="0" applyNumberFormat="1" applyFont="1" applyFill="1" applyBorder="1" applyAlignment="1">
      <alignment horizontal="center" vertical="center" wrapText="1"/>
    </xf>
    <xf numFmtId="0" fontId="5" fillId="4" borderId="0" xfId="0" applyFont="1" applyFill="1"/>
    <xf numFmtId="182" fontId="4" fillId="3" borderId="11" xfId="0" applyNumberFormat="1" applyFont="1" applyFill="1" applyBorder="1" applyAlignment="1">
      <alignment horizontal="center" vertical="center" wrapText="1"/>
    </xf>
    <xf numFmtId="182" fontId="3" fillId="2" borderId="8" xfId="0" applyNumberFormat="1" applyFont="1" applyFill="1" applyBorder="1" applyAlignment="1">
      <alignment horizontal="center" vertical="center" wrapText="1"/>
    </xf>
    <xf numFmtId="182" fontId="3" fillId="2" borderId="2" xfId="0" applyNumberFormat="1" applyFont="1" applyFill="1" applyBorder="1" applyAlignment="1">
      <alignment horizontal="center" vertical="center" wrapText="1"/>
    </xf>
    <xf numFmtId="182" fontId="3" fillId="2" borderId="5" xfId="0" applyNumberFormat="1" applyFont="1" applyFill="1" applyBorder="1" applyAlignment="1">
      <alignment horizontal="center" vertical="center" wrapText="1"/>
    </xf>
    <xf numFmtId="18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/>
              <a:t>参照</a:t>
            </a:r>
            <a:r>
              <a:rPr lang="zh-CN" altLang="en-US"/>
              <a:t>对比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对比!$B$1</c:f>
              <c:strCache>
                <c:ptCount val="1"/>
                <c:pt idx="0">
                  <c:v>贵州茅台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对比!$A$2:$A$20</c:f>
              <c:strCache>
                <c:ptCount val="19"/>
                <c:pt idx="0">
                  <c:v>2006年</c:v>
                </c:pt>
                <c:pt idx="1">
                  <c:v>2007年</c:v>
                </c:pt>
                <c:pt idx="2">
                  <c:v>2008年</c:v>
                </c:pt>
                <c:pt idx="3">
                  <c:v>2009年</c:v>
                </c:pt>
                <c:pt idx="4">
                  <c:v>2010年</c:v>
                </c:pt>
                <c:pt idx="5">
                  <c:v>2011年</c:v>
                </c:pt>
                <c:pt idx="6">
                  <c:v>2012年</c:v>
                </c:pt>
                <c:pt idx="7">
                  <c:v>2013年</c:v>
                </c:pt>
                <c:pt idx="8">
                  <c:v>2014年</c:v>
                </c:pt>
                <c:pt idx="9">
                  <c:v>2015年</c:v>
                </c:pt>
                <c:pt idx="10">
                  <c:v>2016年</c:v>
                </c:pt>
                <c:pt idx="11">
                  <c:v>2017年</c:v>
                </c:pt>
                <c:pt idx="12">
                  <c:v>2018年</c:v>
                </c:pt>
                <c:pt idx="13">
                  <c:v>2019年</c:v>
                </c:pt>
                <c:pt idx="14">
                  <c:v>2020年</c:v>
                </c:pt>
                <c:pt idx="15">
                  <c:v>2021年</c:v>
                </c:pt>
                <c:pt idx="16">
                  <c:v>2022年</c:v>
                </c:pt>
                <c:pt idx="17">
                  <c:v>2023年</c:v>
                </c:pt>
                <c:pt idx="18">
                  <c:v>2024年</c:v>
                </c:pt>
              </c:strCache>
            </c:strRef>
          </c:cat>
          <c:val>
            <c:numRef>
              <c:f>对比!$B$2:$B$20</c:f>
              <c:numCache>
                <c:formatCode>0.00_ </c:formatCode>
                <c:ptCount val="19"/>
                <c:pt idx="0">
                  <c:v>2.1239036493031964</c:v>
                </c:pt>
                <c:pt idx="1">
                  <c:v>1.9493177387914231</c:v>
                </c:pt>
                <c:pt idx="2">
                  <c:v>0.69089919863320182</c:v>
                </c:pt>
                <c:pt idx="3">
                  <c:v>1.2211424030949223</c:v>
                </c:pt>
                <c:pt idx="4">
                  <c:v>1.2243164477249096</c:v>
                </c:pt>
                <c:pt idx="5">
                  <c:v>0.5669020693538549</c:v>
                </c:pt>
                <c:pt idx="6">
                  <c:v>0.39285279316042948</c:v>
                </c:pt>
                <c:pt idx="7">
                  <c:v>0.25931424531636615</c:v>
                </c:pt>
                <c:pt idx="8">
                  <c:v>0.46716291774808555</c:v>
                </c:pt>
                <c:pt idx="9">
                  <c:v>0.66440195298059745</c:v>
                </c:pt>
                <c:pt idx="10">
                  <c:v>0.998864077960123</c:v>
                </c:pt>
                <c:pt idx="11">
                  <c:v>0.97153318212949458</c:v>
                </c:pt>
                <c:pt idx="12">
                  <c:v>0.59777073793648172</c:v>
                </c:pt>
                <c:pt idx="13">
                  <c:v>1.079458354624425</c:v>
                </c:pt>
                <c:pt idx="14">
                  <c:v>1.6876269996331652</c:v>
                </c:pt>
                <c:pt idx="15">
                  <c:v>1.6359324176367878</c:v>
                </c:pt>
                <c:pt idx="16">
                  <c:v>1.1405384411316069</c:v>
                </c:pt>
                <c:pt idx="17">
                  <c:v>0.84805639820719103</c:v>
                </c:pt>
                <c:pt idx="18">
                  <c:v>0.61614107690059194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2-4D66-9167-883298D93B91}"/>
            </c:ext>
          </c:extLst>
        </c:ser>
        <c:ser>
          <c:idx val="1"/>
          <c:order val="1"/>
          <c:tx>
            <c:strRef>
              <c:f>对比!$C$1</c:f>
              <c:strCache>
                <c:ptCount val="1"/>
                <c:pt idx="0">
                  <c:v>山西汾酒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对比!$A$2:$A$20</c:f>
              <c:strCache>
                <c:ptCount val="19"/>
                <c:pt idx="0">
                  <c:v>2006年</c:v>
                </c:pt>
                <c:pt idx="1">
                  <c:v>2007年</c:v>
                </c:pt>
                <c:pt idx="2">
                  <c:v>2008年</c:v>
                </c:pt>
                <c:pt idx="3">
                  <c:v>2009年</c:v>
                </c:pt>
                <c:pt idx="4">
                  <c:v>2010年</c:v>
                </c:pt>
                <c:pt idx="5">
                  <c:v>2011年</c:v>
                </c:pt>
                <c:pt idx="6">
                  <c:v>2012年</c:v>
                </c:pt>
                <c:pt idx="7">
                  <c:v>2013年</c:v>
                </c:pt>
                <c:pt idx="8">
                  <c:v>2014年</c:v>
                </c:pt>
                <c:pt idx="9">
                  <c:v>2015年</c:v>
                </c:pt>
                <c:pt idx="10">
                  <c:v>2016年</c:v>
                </c:pt>
                <c:pt idx="11">
                  <c:v>2017年</c:v>
                </c:pt>
                <c:pt idx="12">
                  <c:v>2018年</c:v>
                </c:pt>
                <c:pt idx="13">
                  <c:v>2019年</c:v>
                </c:pt>
                <c:pt idx="14">
                  <c:v>2020年</c:v>
                </c:pt>
                <c:pt idx="15">
                  <c:v>2021年</c:v>
                </c:pt>
                <c:pt idx="16">
                  <c:v>2022年</c:v>
                </c:pt>
                <c:pt idx="17">
                  <c:v>2023年</c:v>
                </c:pt>
                <c:pt idx="18">
                  <c:v>2024年</c:v>
                </c:pt>
              </c:strCache>
            </c:strRef>
          </c:cat>
          <c:val>
            <c:numRef>
              <c:f>对比!$C$2:$C$20</c:f>
              <c:numCache>
                <c:formatCode>0.00_ </c:formatCode>
                <c:ptCount val="19"/>
                <c:pt idx="0">
                  <c:v>2.2349632193855475</c:v>
                </c:pt>
                <c:pt idx="1">
                  <c:v>1.6498690864746601</c:v>
                </c:pt>
                <c:pt idx="2">
                  <c:v>0.87962084693300135</c:v>
                </c:pt>
                <c:pt idx="3">
                  <c:v>2.2487624734815745</c:v>
                </c:pt>
                <c:pt idx="4">
                  <c:v>4.1685401678657072</c:v>
                </c:pt>
                <c:pt idx="5">
                  <c:v>1.9744382482398606</c:v>
                </c:pt>
                <c:pt idx="6">
                  <c:v>0.60950716473770183</c:v>
                </c:pt>
                <c:pt idx="7">
                  <c:v>0.66926714519383146</c:v>
                </c:pt>
                <c:pt idx="8">
                  <c:v>5.7177828291659374</c:v>
                </c:pt>
                <c:pt idx="9">
                  <c:v>2.5755971856889288</c:v>
                </c:pt>
                <c:pt idx="10">
                  <c:v>2.8004357128754229</c:v>
                </c:pt>
                <c:pt idx="11">
                  <c:v>2.7521995623331432</c:v>
                </c:pt>
                <c:pt idx="12">
                  <c:v>0.810411013876433</c:v>
                </c:pt>
                <c:pt idx="13">
                  <c:v>2.0144096991334264</c:v>
                </c:pt>
                <c:pt idx="14">
                  <c:v>4.0931304142308189</c:v>
                </c:pt>
                <c:pt idx="15">
                  <c:v>1.7525844293313035</c:v>
                </c:pt>
                <c:pt idx="16">
                  <c:v>0.95986498637920636</c:v>
                </c:pt>
                <c:pt idx="17">
                  <c:v>0.62506477000688687</c:v>
                </c:pt>
                <c:pt idx="18">
                  <c:v>0.4623787770847167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2-4D66-9167-883298D93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39664"/>
        <c:axId val="143940144"/>
      </c:lineChart>
      <c:catAx>
        <c:axId val="1439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3940144"/>
        <c:crosses val="autoZero"/>
        <c:auto val="1"/>
        <c:lblAlgn val="ctr"/>
        <c:lblOffset val="100"/>
        <c:noMultiLvlLbl val="0"/>
      </c:catAx>
      <c:valAx>
        <c:axId val="14394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39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</xdr:colOff>
      <xdr:row>2</xdr:row>
      <xdr:rowOff>38100</xdr:rowOff>
    </xdr:from>
    <xdr:to>
      <xdr:col>12</xdr:col>
      <xdr:colOff>509587</xdr:colOff>
      <xdr:row>10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175E90C-1579-F800-7038-D7E115C8B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sqref="A1:A1048576"/>
    </sheetView>
  </sheetViews>
  <sheetFormatPr defaultRowHeight="14.25"/>
  <cols>
    <col min="1" max="1" width="16.875" customWidth="1"/>
    <col min="2" max="2" width="25.75" style="20" customWidth="1"/>
    <col min="3" max="3" width="24.125" style="2" customWidth="1"/>
    <col min="4" max="4" width="19.375" style="2" customWidth="1"/>
    <col min="5" max="5" width="16.125" style="2" customWidth="1"/>
    <col min="8" max="8" width="18.75" customWidth="1"/>
  </cols>
  <sheetData>
    <row r="1" spans="1:8" ht="27.6" customHeight="1">
      <c r="A1" s="12" t="s">
        <v>0</v>
      </c>
      <c r="B1" s="16" t="s">
        <v>1</v>
      </c>
      <c r="C1" s="13" t="s">
        <v>23</v>
      </c>
      <c r="D1" s="13" t="s">
        <v>21</v>
      </c>
      <c r="E1" s="14" t="s">
        <v>22</v>
      </c>
    </row>
    <row r="2" spans="1:8" ht="27.6" customHeight="1">
      <c r="A2" s="9" t="s">
        <v>20</v>
      </c>
      <c r="B2" s="17">
        <v>1.63</v>
      </c>
      <c r="C2" s="10">
        <v>25.37</v>
      </c>
      <c r="D2" s="10">
        <v>87.83</v>
      </c>
      <c r="E2" s="11">
        <f>D2/(B2*C2)</f>
        <v>2.1239036493031964</v>
      </c>
    </row>
    <row r="3" spans="1:8" ht="27.6" customHeight="1">
      <c r="A3" s="3" t="s">
        <v>19</v>
      </c>
      <c r="B3" s="18">
        <v>3</v>
      </c>
      <c r="C3" s="4">
        <v>39.33</v>
      </c>
      <c r="D3" s="4">
        <v>230</v>
      </c>
      <c r="E3" s="5">
        <f>D3/(B3*C3)</f>
        <v>1.9493177387914231</v>
      </c>
    </row>
    <row r="4" spans="1:8" ht="27.6" customHeight="1">
      <c r="A4" s="3" t="s">
        <v>18</v>
      </c>
      <c r="B4" s="18">
        <v>4.03</v>
      </c>
      <c r="C4" s="4">
        <v>39.04</v>
      </c>
      <c r="D4" s="4">
        <v>108.7</v>
      </c>
      <c r="E4" s="5">
        <f>D4/(B4*C4)</f>
        <v>0.69089919863320182</v>
      </c>
    </row>
    <row r="5" spans="1:8" ht="27.6" customHeight="1">
      <c r="A5" s="3" t="s">
        <v>17</v>
      </c>
      <c r="B5" s="18">
        <v>4.1500000000000004</v>
      </c>
      <c r="C5" s="4">
        <v>33.51</v>
      </c>
      <c r="D5" s="4">
        <v>169.82</v>
      </c>
      <c r="E5" s="5">
        <f>D5/(B5*C5)</f>
        <v>1.2211424030949223</v>
      </c>
    </row>
    <row r="6" spans="1:8" ht="27.6" customHeight="1">
      <c r="A6" s="3" t="s">
        <v>16</v>
      </c>
      <c r="B6" s="18">
        <v>4.8600000000000003</v>
      </c>
      <c r="C6" s="4">
        <v>30.91</v>
      </c>
      <c r="D6" s="4">
        <v>183.92</v>
      </c>
      <c r="E6" s="5">
        <f>D6/(B6*C6)</f>
        <v>1.2243164477249096</v>
      </c>
    </row>
    <row r="7" spans="1:8" ht="27.6" customHeight="1">
      <c r="A7" s="3" t="s">
        <v>15</v>
      </c>
      <c r="B7" s="18">
        <v>8.44</v>
      </c>
      <c r="C7" s="4">
        <v>40.4</v>
      </c>
      <c r="D7" s="4">
        <v>193.3</v>
      </c>
      <c r="E7" s="5">
        <f>D7/(B7*C7)</f>
        <v>0.5669020693538549</v>
      </c>
    </row>
    <row r="8" spans="1:8" ht="27.6" customHeight="1">
      <c r="A8" s="3" t="s">
        <v>14</v>
      </c>
      <c r="B8" s="18">
        <v>11.74</v>
      </c>
      <c r="C8" s="4">
        <v>45.32</v>
      </c>
      <c r="D8" s="4">
        <v>209.02</v>
      </c>
      <c r="E8" s="5">
        <f>D8/(B8*C8)</f>
        <v>0.39285279316042948</v>
      </c>
    </row>
    <row r="9" spans="1:8" ht="27.6" customHeight="1">
      <c r="A9" s="3" t="s">
        <v>13</v>
      </c>
      <c r="B9" s="18">
        <v>12.3</v>
      </c>
      <c r="C9" s="4">
        <v>40.25</v>
      </c>
      <c r="D9" s="4">
        <v>128.38</v>
      </c>
      <c r="E9" s="5">
        <f>D9/(B9*C9)</f>
        <v>0.25931424531636615</v>
      </c>
      <c r="H9" s="1"/>
    </row>
    <row r="10" spans="1:8" ht="27.6" customHeight="1">
      <c r="A10" s="3" t="s">
        <v>12</v>
      </c>
      <c r="B10" s="18">
        <v>12.36</v>
      </c>
      <c r="C10" s="4">
        <v>32.32</v>
      </c>
      <c r="D10" s="4">
        <v>186.62</v>
      </c>
      <c r="E10" s="5">
        <f>D10/(B10*C10)</f>
        <v>0.46716291774808555</v>
      </c>
    </row>
    <row r="11" spans="1:8" ht="27.6" customHeight="1">
      <c r="A11" s="3" t="s">
        <v>11</v>
      </c>
      <c r="B11" s="18">
        <v>12.43</v>
      </c>
      <c r="C11" s="4">
        <v>26.42</v>
      </c>
      <c r="D11" s="4">
        <v>218.19</v>
      </c>
      <c r="E11" s="5">
        <f>D11/(B11*C11)</f>
        <v>0.66440195298059745</v>
      </c>
    </row>
    <row r="12" spans="1:8" ht="27.6" customHeight="1">
      <c r="A12" s="3" t="s">
        <v>10</v>
      </c>
      <c r="B12" s="18">
        <v>13.5</v>
      </c>
      <c r="C12" s="4">
        <v>24.78</v>
      </c>
      <c r="D12" s="4">
        <v>334.15</v>
      </c>
      <c r="E12" s="5">
        <f>D12/(B12*C12)</f>
        <v>0.998864077960123</v>
      </c>
    </row>
    <row r="13" spans="1:8" ht="27.6" customHeight="1">
      <c r="A13" s="3" t="s">
        <v>9</v>
      </c>
      <c r="B13" s="18">
        <v>21.67</v>
      </c>
      <c r="C13" s="4">
        <v>33.130000000000003</v>
      </c>
      <c r="D13" s="4">
        <v>697.49</v>
      </c>
      <c r="E13" s="5">
        <f>D13/(B13*C13)</f>
        <v>0.97153318212949458</v>
      </c>
    </row>
    <row r="14" spans="1:8" ht="27.6" customHeight="1">
      <c r="A14" s="3" t="s">
        <v>8</v>
      </c>
      <c r="B14" s="18">
        <v>28.33</v>
      </c>
      <c r="C14" s="4">
        <v>34.840000000000003</v>
      </c>
      <c r="D14" s="4">
        <v>590.01</v>
      </c>
      <c r="E14" s="5">
        <f>D14/(B14*C14)</f>
        <v>0.59777073793648172</v>
      </c>
    </row>
    <row r="15" spans="1:8" ht="27.6" customHeight="1">
      <c r="A15" s="3" t="s">
        <v>7</v>
      </c>
      <c r="B15" s="18">
        <v>32.96</v>
      </c>
      <c r="C15" s="4">
        <v>33.25</v>
      </c>
      <c r="D15" s="4">
        <v>1183</v>
      </c>
      <c r="E15" s="5">
        <f>D15/(B15*C15)</f>
        <v>1.079458354624425</v>
      </c>
    </row>
    <row r="16" spans="1:8" ht="27.6" customHeight="1">
      <c r="A16" s="3" t="s">
        <v>6</v>
      </c>
      <c r="B16" s="18">
        <v>37.43</v>
      </c>
      <c r="C16" s="4">
        <v>31.63</v>
      </c>
      <c r="D16" s="4">
        <v>1998</v>
      </c>
      <c r="E16" s="5">
        <f>D16/(B16*C16)</f>
        <v>1.6876269996331652</v>
      </c>
    </row>
    <row r="17" spans="1:5" ht="27.6" customHeight="1">
      <c r="A17" s="3" t="s">
        <v>5</v>
      </c>
      <c r="B17" s="18">
        <v>41.84</v>
      </c>
      <c r="C17" s="4">
        <v>29.95</v>
      </c>
      <c r="D17" s="4">
        <v>2050</v>
      </c>
      <c r="E17" s="5">
        <f>D17/(B17*C17)</f>
        <v>1.6359324176367878</v>
      </c>
    </row>
    <row r="18" spans="1:5" ht="27.6" customHeight="1">
      <c r="A18" s="3" t="s">
        <v>4</v>
      </c>
      <c r="B18" s="18">
        <v>49.99</v>
      </c>
      <c r="C18" s="4">
        <v>30.29</v>
      </c>
      <c r="D18" s="4">
        <v>1727</v>
      </c>
      <c r="E18" s="5">
        <f>D18/(B18*C18)</f>
        <v>1.1405384411316069</v>
      </c>
    </row>
    <row r="19" spans="1:5" ht="27.6" customHeight="1">
      <c r="A19" s="3" t="s">
        <v>3</v>
      </c>
      <c r="B19" s="18">
        <v>59.51</v>
      </c>
      <c r="C19" s="4">
        <v>34.200000000000003</v>
      </c>
      <c r="D19" s="4">
        <v>1726</v>
      </c>
      <c r="E19" s="5">
        <f>D19/(B19*C19)</f>
        <v>0.84805639820719103</v>
      </c>
    </row>
    <row r="20" spans="1:5" ht="27.6" customHeight="1">
      <c r="A20" s="6" t="s">
        <v>2</v>
      </c>
      <c r="B20" s="19">
        <v>68.650000000000006</v>
      </c>
      <c r="C20" s="7">
        <v>36.03</v>
      </c>
      <c r="D20" s="7">
        <v>1524</v>
      </c>
      <c r="E20" s="8">
        <f>D20/(B20*C20)</f>
        <v>0.61614107690059194</v>
      </c>
    </row>
  </sheetData>
  <sortState xmlns:xlrd2="http://schemas.microsoft.com/office/spreadsheetml/2017/richdata2" ref="A2:E20">
    <sortCondition ref="A1:A20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0679-0DFB-4923-9637-131DC7992925}">
  <dimension ref="A1:H20"/>
  <sheetViews>
    <sheetView workbookViewId="0">
      <selection activeCell="I8" sqref="I8"/>
    </sheetView>
  </sheetViews>
  <sheetFormatPr defaultRowHeight="14.25"/>
  <cols>
    <col min="1" max="1" width="16.875" customWidth="1"/>
    <col min="2" max="2" width="25.75" style="20" customWidth="1"/>
    <col min="3" max="3" width="24.125" style="2" customWidth="1"/>
    <col min="4" max="4" width="19.375" style="2" customWidth="1"/>
    <col min="5" max="5" width="16.125" style="2" customWidth="1"/>
    <col min="8" max="8" width="18.75" customWidth="1"/>
  </cols>
  <sheetData>
    <row r="1" spans="1:8" ht="27.6" customHeight="1">
      <c r="A1" s="12" t="s">
        <v>0</v>
      </c>
      <c r="B1" s="16" t="s">
        <v>25</v>
      </c>
      <c r="C1" s="13" t="s">
        <v>26</v>
      </c>
      <c r="D1" s="13" t="s">
        <v>21</v>
      </c>
      <c r="E1" s="14" t="s">
        <v>22</v>
      </c>
    </row>
    <row r="2" spans="1:8" ht="27.6" customHeight="1">
      <c r="A2" s="9" t="s">
        <v>20</v>
      </c>
      <c r="B2" s="17">
        <v>0.6</v>
      </c>
      <c r="C2" s="10">
        <v>23.11</v>
      </c>
      <c r="D2" s="10">
        <v>30.99</v>
      </c>
      <c r="E2" s="11">
        <f>D2/(B2*C2)</f>
        <v>2.2349632193855475</v>
      </c>
    </row>
    <row r="3" spans="1:8" ht="27.6" customHeight="1">
      <c r="A3" s="3" t="s">
        <v>19</v>
      </c>
      <c r="B3" s="18">
        <v>0.78400000000000003</v>
      </c>
      <c r="C3" s="4">
        <v>28.45</v>
      </c>
      <c r="D3" s="4">
        <v>36.799999999999997</v>
      </c>
      <c r="E3" s="5">
        <f>D3/(B3*C3)</f>
        <v>1.6498690864746601</v>
      </c>
    </row>
    <row r="4" spans="1:8" ht="27.6" customHeight="1">
      <c r="A4" s="3" t="s">
        <v>18</v>
      </c>
      <c r="B4" s="18">
        <v>0.62549999999999994</v>
      </c>
      <c r="C4" s="4">
        <v>19.72</v>
      </c>
      <c r="D4" s="4">
        <v>10.85</v>
      </c>
      <c r="E4" s="5">
        <f>D4/(B4*C4)</f>
        <v>0.87962084693300135</v>
      </c>
    </row>
    <row r="5" spans="1:8" ht="27.6" customHeight="1">
      <c r="A5" s="3" t="s">
        <v>17</v>
      </c>
      <c r="B5" s="18">
        <v>0.82499999999999996</v>
      </c>
      <c r="C5" s="4">
        <v>23.14</v>
      </c>
      <c r="D5" s="4">
        <v>42.93</v>
      </c>
      <c r="E5" s="5">
        <f>D5/(B5*C5)</f>
        <v>2.2487624734815745</v>
      </c>
    </row>
    <row r="6" spans="1:8" ht="27.6" customHeight="1">
      <c r="A6" s="3" t="s">
        <v>16</v>
      </c>
      <c r="B6" s="18">
        <v>0.58379999999999999</v>
      </c>
      <c r="C6" s="4">
        <v>28.16</v>
      </c>
      <c r="D6" s="4">
        <v>68.53</v>
      </c>
      <c r="E6" s="5">
        <f>D6/(B6*C6)</f>
        <v>4.1685401678657072</v>
      </c>
    </row>
    <row r="7" spans="1:8" ht="27.6" customHeight="1">
      <c r="A7" s="3" t="s">
        <v>15</v>
      </c>
      <c r="B7" s="18">
        <v>0.91420000000000001</v>
      </c>
      <c r="C7" s="4">
        <v>34.979999999999997</v>
      </c>
      <c r="D7" s="4">
        <v>63.14</v>
      </c>
      <c r="E7" s="5">
        <f>D7/(B7*C7)</f>
        <v>1.9744382482398606</v>
      </c>
    </row>
    <row r="8" spans="1:8" ht="27.6" customHeight="1">
      <c r="A8" s="3" t="s">
        <v>14</v>
      </c>
      <c r="B8" s="18">
        <v>1.5422</v>
      </c>
      <c r="C8" s="4">
        <v>44.32</v>
      </c>
      <c r="D8" s="4">
        <v>41.66</v>
      </c>
      <c r="E8" s="5">
        <f>D8/(B8*C8)</f>
        <v>0.60950716473770183</v>
      </c>
    </row>
    <row r="9" spans="1:8" ht="27.6" customHeight="1">
      <c r="A9" s="3" t="s">
        <v>13</v>
      </c>
      <c r="B9" s="18">
        <v>1.1173</v>
      </c>
      <c r="C9" s="4">
        <v>25.81</v>
      </c>
      <c r="D9" s="4">
        <v>19.3</v>
      </c>
      <c r="E9" s="5">
        <f>D9/(B9*C9)</f>
        <v>0.66926714519383146</v>
      </c>
      <c r="H9" s="1"/>
    </row>
    <row r="10" spans="1:8" ht="27.6" customHeight="1">
      <c r="A10" s="3" t="s">
        <v>12</v>
      </c>
      <c r="B10" s="18">
        <v>0.4214</v>
      </c>
      <c r="C10" s="4">
        <v>9.5</v>
      </c>
      <c r="D10" s="4">
        <v>22.89</v>
      </c>
      <c r="E10" s="5">
        <f>D10/(B10*C10)</f>
        <v>5.7177828291659374</v>
      </c>
    </row>
    <row r="11" spans="1:8" ht="27.6" customHeight="1">
      <c r="A11" s="3" t="s">
        <v>11</v>
      </c>
      <c r="B11" s="18">
        <v>0.59950000000000003</v>
      </c>
      <c r="C11" s="4">
        <v>12.48</v>
      </c>
      <c r="D11" s="4">
        <v>19.27</v>
      </c>
      <c r="E11" s="5">
        <f>D11/(B11*C11)</f>
        <v>2.5755971856889288</v>
      </c>
    </row>
    <row r="12" spans="1:8" ht="27.6" customHeight="1">
      <c r="A12" s="3" t="s">
        <v>10</v>
      </c>
      <c r="B12" s="18">
        <v>0.68620000000000003</v>
      </c>
      <c r="C12" s="4">
        <v>13.02</v>
      </c>
      <c r="D12" s="4">
        <v>25.02</v>
      </c>
      <c r="E12" s="5">
        <f>D12/(B12*C12)</f>
        <v>2.8004357128754229</v>
      </c>
    </row>
    <row r="13" spans="1:8" ht="27.6" customHeight="1">
      <c r="A13" s="3" t="s">
        <v>9</v>
      </c>
      <c r="B13" s="18">
        <v>1.0887</v>
      </c>
      <c r="C13" s="4">
        <v>19.02</v>
      </c>
      <c r="D13" s="4">
        <v>56.99</v>
      </c>
      <c r="E13" s="5">
        <f>D13/(B13*C13)</f>
        <v>2.7521995623331432</v>
      </c>
    </row>
    <row r="14" spans="1:8" ht="27.6" customHeight="1">
      <c r="A14" s="3" t="s">
        <v>8</v>
      </c>
      <c r="B14" s="18">
        <v>1.6900999999999999</v>
      </c>
      <c r="C14" s="4">
        <v>25.59</v>
      </c>
      <c r="D14" s="4">
        <v>35.049999999999997</v>
      </c>
      <c r="E14" s="5">
        <f>D14/(B14*C14)</f>
        <v>0.810411013876433</v>
      </c>
    </row>
    <row r="15" spans="1:8" ht="27.6" customHeight="1">
      <c r="A15" s="3" t="s">
        <v>7</v>
      </c>
      <c r="B15" s="18">
        <v>1.5966</v>
      </c>
      <c r="C15" s="4">
        <v>27.89</v>
      </c>
      <c r="D15" s="4">
        <v>89.7</v>
      </c>
      <c r="E15" s="5">
        <f>D15/(B15*C15)</f>
        <v>2.0144096991334264</v>
      </c>
    </row>
    <row r="16" spans="1:8" ht="27.6" customHeight="1">
      <c r="A16" s="3" t="s">
        <v>6</v>
      </c>
      <c r="B16" s="18">
        <v>2.5065</v>
      </c>
      <c r="C16" s="4">
        <v>36.58</v>
      </c>
      <c r="D16" s="4">
        <v>375.29</v>
      </c>
      <c r="E16" s="5">
        <f>D16/(B16*C16)</f>
        <v>4.0931304142308189</v>
      </c>
    </row>
    <row r="17" spans="1:5" ht="27.6" customHeight="1">
      <c r="A17" s="3" t="s">
        <v>5</v>
      </c>
      <c r="B17" s="18">
        <v>4.3301999999999996</v>
      </c>
      <c r="C17" s="4">
        <v>41.61</v>
      </c>
      <c r="D17" s="4">
        <v>315.77999999999997</v>
      </c>
      <c r="E17" s="5">
        <f>D17/(B17*C17)</f>
        <v>1.7525844293313035</v>
      </c>
    </row>
    <row r="18" spans="1:5" ht="27.6" customHeight="1">
      <c r="A18" s="3" t="s">
        <v>4</v>
      </c>
      <c r="B18" s="18">
        <v>6.6421999999999999</v>
      </c>
      <c r="C18" s="4">
        <v>44.7</v>
      </c>
      <c r="D18" s="4">
        <v>284.99</v>
      </c>
      <c r="E18" s="5">
        <f>D18/(B18*C18)</f>
        <v>0.95986498637920636</v>
      </c>
    </row>
    <row r="19" spans="1:5" ht="27.6" customHeight="1">
      <c r="A19" s="3" t="s">
        <v>3</v>
      </c>
      <c r="B19" s="18">
        <v>8.5680999999999994</v>
      </c>
      <c r="C19" s="4">
        <v>43.08</v>
      </c>
      <c r="D19" s="4">
        <v>230.72</v>
      </c>
      <c r="E19" s="5">
        <f>D19/(B19*C19)</f>
        <v>0.62506477000688687</v>
      </c>
    </row>
    <row r="20" spans="1:5" ht="27.6" customHeight="1">
      <c r="A20" s="6" t="s">
        <v>2</v>
      </c>
      <c r="B20" s="19">
        <v>10.037699999999999</v>
      </c>
      <c r="C20" s="7">
        <v>39.69</v>
      </c>
      <c r="D20" s="7">
        <v>184.21</v>
      </c>
      <c r="E20" s="8">
        <f>D20/(B20*C20)</f>
        <v>0.4623787770847167</v>
      </c>
    </row>
  </sheetData>
  <sortState xmlns:xlrd2="http://schemas.microsoft.com/office/spreadsheetml/2017/richdata2" ref="A2:E20">
    <sortCondition ref="A1:A2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2A48-1518-4596-A634-DDDF2A28A77A}">
  <dimension ref="A1:C20"/>
  <sheetViews>
    <sheetView tabSelected="1" workbookViewId="0">
      <selection activeCell="P9" sqref="P9"/>
    </sheetView>
  </sheetViews>
  <sheetFormatPr defaultRowHeight="14.25"/>
  <cols>
    <col min="1" max="1" width="16.875" customWidth="1"/>
    <col min="2" max="3" width="17.75" style="2" customWidth="1"/>
  </cols>
  <sheetData>
    <row r="1" spans="1:3" ht="27.6" customHeight="1">
      <c r="A1" s="12" t="s">
        <v>0</v>
      </c>
      <c r="B1" s="13" t="s">
        <v>29</v>
      </c>
      <c r="C1" s="14" t="s">
        <v>30</v>
      </c>
    </row>
    <row r="2" spans="1:3" ht="27.6" customHeight="1">
      <c r="A2" s="9" t="s">
        <v>20</v>
      </c>
      <c r="B2" s="10">
        <f>贵州茅台!E2</f>
        <v>2.1239036493031964</v>
      </c>
      <c r="C2" s="11">
        <f>山西汾酒!E2</f>
        <v>2.2349632193855475</v>
      </c>
    </row>
    <row r="3" spans="1:3" ht="27.6" customHeight="1">
      <c r="A3" s="3" t="s">
        <v>19</v>
      </c>
      <c r="B3" s="10">
        <f>贵州茅台!E3</f>
        <v>1.9493177387914231</v>
      </c>
      <c r="C3" s="11">
        <f>山西汾酒!E3</f>
        <v>1.6498690864746601</v>
      </c>
    </row>
    <row r="4" spans="1:3" ht="27.6" customHeight="1">
      <c r="A4" s="3" t="s">
        <v>18</v>
      </c>
      <c r="B4" s="10">
        <f>贵州茅台!E4</f>
        <v>0.69089919863320182</v>
      </c>
      <c r="C4" s="11">
        <f>山西汾酒!E4</f>
        <v>0.87962084693300135</v>
      </c>
    </row>
    <row r="5" spans="1:3" ht="27.6" customHeight="1">
      <c r="A5" s="3" t="s">
        <v>17</v>
      </c>
      <c r="B5" s="10">
        <f>贵州茅台!E5</f>
        <v>1.2211424030949223</v>
      </c>
      <c r="C5" s="11">
        <f>山西汾酒!E5</f>
        <v>2.2487624734815745</v>
      </c>
    </row>
    <row r="6" spans="1:3" ht="27.6" customHeight="1">
      <c r="A6" s="3" t="s">
        <v>16</v>
      </c>
      <c r="B6" s="10">
        <f>贵州茅台!E6</f>
        <v>1.2243164477249096</v>
      </c>
      <c r="C6" s="11">
        <f>山西汾酒!E6</f>
        <v>4.1685401678657072</v>
      </c>
    </row>
    <row r="7" spans="1:3" ht="27.6" customHeight="1">
      <c r="A7" s="3" t="s">
        <v>15</v>
      </c>
      <c r="B7" s="10">
        <f>贵州茅台!E7</f>
        <v>0.5669020693538549</v>
      </c>
      <c r="C7" s="11">
        <f>山西汾酒!E7</f>
        <v>1.9744382482398606</v>
      </c>
    </row>
    <row r="8" spans="1:3" ht="27.6" customHeight="1">
      <c r="A8" s="3" t="s">
        <v>14</v>
      </c>
      <c r="B8" s="10">
        <f>贵州茅台!E8</f>
        <v>0.39285279316042948</v>
      </c>
      <c r="C8" s="11">
        <f>山西汾酒!E8</f>
        <v>0.60950716473770183</v>
      </c>
    </row>
    <row r="9" spans="1:3" ht="27.6" customHeight="1">
      <c r="A9" s="3" t="s">
        <v>13</v>
      </c>
      <c r="B9" s="10">
        <f>贵州茅台!E9</f>
        <v>0.25931424531636615</v>
      </c>
      <c r="C9" s="11">
        <f>山西汾酒!E9</f>
        <v>0.66926714519383146</v>
      </c>
    </row>
    <row r="10" spans="1:3" ht="27.6" customHeight="1">
      <c r="A10" s="3" t="s">
        <v>12</v>
      </c>
      <c r="B10" s="10">
        <f>贵州茅台!E10</f>
        <v>0.46716291774808555</v>
      </c>
      <c r="C10" s="11">
        <f>山西汾酒!E10</f>
        <v>5.7177828291659374</v>
      </c>
    </row>
    <row r="11" spans="1:3" ht="27.6" customHeight="1">
      <c r="A11" s="3" t="s">
        <v>11</v>
      </c>
      <c r="B11" s="10">
        <f>贵州茅台!E11</f>
        <v>0.66440195298059745</v>
      </c>
      <c r="C11" s="11">
        <f>山西汾酒!E11</f>
        <v>2.5755971856889288</v>
      </c>
    </row>
    <row r="12" spans="1:3" ht="27.6" customHeight="1">
      <c r="A12" s="3" t="s">
        <v>10</v>
      </c>
      <c r="B12" s="10">
        <f>贵州茅台!E12</f>
        <v>0.998864077960123</v>
      </c>
      <c r="C12" s="11">
        <f>山西汾酒!E12</f>
        <v>2.8004357128754229</v>
      </c>
    </row>
    <row r="13" spans="1:3" ht="27.6" customHeight="1">
      <c r="A13" s="3" t="s">
        <v>9</v>
      </c>
      <c r="B13" s="10">
        <f>贵州茅台!E13</f>
        <v>0.97153318212949458</v>
      </c>
      <c r="C13" s="11">
        <f>山西汾酒!E13</f>
        <v>2.7521995623331432</v>
      </c>
    </row>
    <row r="14" spans="1:3" ht="27.6" customHeight="1">
      <c r="A14" s="3" t="s">
        <v>8</v>
      </c>
      <c r="B14" s="10">
        <f>贵州茅台!E14</f>
        <v>0.59777073793648172</v>
      </c>
      <c r="C14" s="11">
        <f>山西汾酒!E14</f>
        <v>0.810411013876433</v>
      </c>
    </row>
    <row r="15" spans="1:3" ht="27.6" customHeight="1">
      <c r="A15" s="3" t="s">
        <v>7</v>
      </c>
      <c r="B15" s="10">
        <f>贵州茅台!E15</f>
        <v>1.079458354624425</v>
      </c>
      <c r="C15" s="11">
        <f>山西汾酒!E15</f>
        <v>2.0144096991334264</v>
      </c>
    </row>
    <row r="16" spans="1:3" ht="27.6" customHeight="1">
      <c r="A16" s="3" t="s">
        <v>6</v>
      </c>
      <c r="B16" s="10">
        <f>贵州茅台!E16</f>
        <v>1.6876269996331652</v>
      </c>
      <c r="C16" s="11">
        <f>山西汾酒!E16</f>
        <v>4.0931304142308189</v>
      </c>
    </row>
    <row r="17" spans="1:3" ht="27.6" customHeight="1">
      <c r="A17" s="3" t="s">
        <v>5</v>
      </c>
      <c r="B17" s="10">
        <f>贵州茅台!E17</f>
        <v>1.6359324176367878</v>
      </c>
      <c r="C17" s="11">
        <f>山西汾酒!E17</f>
        <v>1.7525844293313035</v>
      </c>
    </row>
    <row r="18" spans="1:3" ht="27.6" customHeight="1">
      <c r="A18" s="3" t="s">
        <v>4</v>
      </c>
      <c r="B18" s="10">
        <f>贵州茅台!E18</f>
        <v>1.1405384411316069</v>
      </c>
      <c r="C18" s="11">
        <f>山西汾酒!E18</f>
        <v>0.95986498637920636</v>
      </c>
    </row>
    <row r="19" spans="1:3" ht="27.6" customHeight="1">
      <c r="A19" s="3" t="s">
        <v>3</v>
      </c>
      <c r="B19" s="10">
        <f>贵州茅台!E19</f>
        <v>0.84805639820719103</v>
      </c>
      <c r="C19" s="11">
        <f>山西汾酒!E19</f>
        <v>0.62506477000688687</v>
      </c>
    </row>
    <row r="20" spans="1:3" ht="27.6" customHeight="1">
      <c r="A20" s="6" t="s">
        <v>2</v>
      </c>
      <c r="B20" s="10">
        <f>贵州茅台!E20</f>
        <v>0.61614107690059194</v>
      </c>
      <c r="C20" s="11">
        <f>山西汾酒!E20</f>
        <v>0.4623787770847167</v>
      </c>
    </row>
  </sheetData>
  <sortState xmlns:xlrd2="http://schemas.microsoft.com/office/spreadsheetml/2017/richdata2" ref="A2:C20">
    <sortCondition ref="A1:A20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34B9-F5D8-48CF-9526-1C05F76AAEC3}">
  <dimension ref="B3:B5"/>
  <sheetViews>
    <sheetView workbookViewId="0">
      <selection activeCell="F16" sqref="F16"/>
    </sheetView>
  </sheetViews>
  <sheetFormatPr defaultRowHeight="13.5"/>
  <cols>
    <col min="1" max="16384" width="9" style="15"/>
  </cols>
  <sheetData>
    <row r="3" spans="2:2">
      <c r="B3" s="15" t="s">
        <v>24</v>
      </c>
    </row>
    <row r="4" spans="2:2">
      <c r="B4" s="15" t="s">
        <v>27</v>
      </c>
    </row>
    <row r="5" spans="2:2">
      <c r="B5" s="1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贵州茅台</vt:lpstr>
      <vt:lpstr>山西汾酒</vt:lpstr>
      <vt:lpstr>对比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</dc:creator>
  <cp:lastModifiedBy>Quant</cp:lastModifiedBy>
  <dcterms:created xsi:type="dcterms:W3CDTF">2015-06-05T18:19:34Z</dcterms:created>
  <dcterms:modified xsi:type="dcterms:W3CDTF">2025-11-26T06:55:27Z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4A9EC278-C58A-4BA8-A611-04E012A8FEAA</vt:lpwstr>
  </property>
</Properties>
</file>